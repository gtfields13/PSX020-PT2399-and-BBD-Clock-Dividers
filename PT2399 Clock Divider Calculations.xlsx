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/Library/Mobile Documents/com~apple~CloudDocs/Electronics/Circuit_Design/PT2399 Clocker/"/>
    </mc:Choice>
  </mc:AlternateContent>
  <xr:revisionPtr revIDLastSave="0" documentId="13_ncr:1_{31E00991-91ED-9748-B37E-8EB6F5F2CB3F}" xr6:coauthVersionLast="47" xr6:coauthVersionMax="47" xr10:uidLastSave="{00000000-0000-0000-0000-000000000000}"/>
  <bookViews>
    <workbookView xWindow="20260" yWindow="5240" windowWidth="35580" windowHeight="21280" xr2:uid="{E8E971C3-0D4A-7042-BA8A-62FD9DA68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K28" i="1"/>
  <c r="K27" i="1"/>
  <c r="P34" i="1"/>
  <c r="P35" i="1" s="1"/>
  <c r="P36" i="1" s="1"/>
  <c r="K35" i="1"/>
  <c r="K36" i="1" s="1"/>
  <c r="K37" i="1" s="1"/>
  <c r="O13" i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F34" i="1"/>
  <c r="G34" i="1"/>
  <c r="F33" i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B5" i="1"/>
  <c r="F5" i="1" s="1"/>
  <c r="B6" i="1"/>
  <c r="F6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F21" i="1" s="1"/>
  <c r="B22" i="1"/>
  <c r="B23" i="1"/>
  <c r="B24" i="1"/>
  <c r="B25" i="1"/>
  <c r="B26" i="1"/>
  <c r="B27" i="1"/>
  <c r="B28" i="1"/>
  <c r="B29" i="1"/>
  <c r="F29" i="1" s="1"/>
  <c r="B30" i="1"/>
  <c r="B4" i="1"/>
  <c r="B3" i="1"/>
  <c r="K30" i="1" l="1"/>
  <c r="F13" i="1"/>
  <c r="F18" i="1"/>
  <c r="F19" i="1"/>
  <c r="F20" i="1"/>
  <c r="F22" i="1"/>
  <c r="F23" i="1"/>
  <c r="F28" i="1"/>
  <c r="F4" i="1"/>
  <c r="F3" i="1"/>
  <c r="F7" i="1"/>
  <c r="F30" i="1"/>
  <c r="F25" i="1"/>
  <c r="F24" i="1"/>
  <c r="F15" i="1"/>
  <c r="F8" i="1"/>
  <c r="F9" i="1"/>
  <c r="F14" i="1"/>
  <c r="F17" i="1"/>
  <c r="F16" i="1"/>
  <c r="F35" i="1"/>
  <c r="F36" i="1"/>
  <c r="F37" i="1" s="1"/>
  <c r="F12" i="1"/>
  <c r="F11" i="1"/>
  <c r="F26" i="1"/>
  <c r="F27" i="1"/>
  <c r="F10" i="1"/>
  <c r="F31" i="1" l="1"/>
  <c r="G22" i="1"/>
  <c r="G21" i="1"/>
  <c r="G19" i="1"/>
  <c r="G17" i="1"/>
  <c r="G28" i="1"/>
  <c r="G27" i="1"/>
  <c r="G18" i="1"/>
  <c r="G26" i="1"/>
  <c r="G25" i="1"/>
  <c r="G24" i="1"/>
  <c r="G23" i="1"/>
  <c r="G16" i="1"/>
  <c r="G15" i="1"/>
  <c r="G14" i="1"/>
  <c r="G30" i="1"/>
  <c r="G29" i="1"/>
  <c r="G12" i="1"/>
  <c r="G11" i="1"/>
  <c r="G10" i="1"/>
  <c r="G8" i="1"/>
  <c r="G7" i="1"/>
  <c r="G6" i="1"/>
  <c r="G5" i="1"/>
  <c r="G4" i="1"/>
  <c r="G3" i="1"/>
  <c r="G20" i="1"/>
  <c r="G9" i="1"/>
  <c r="G13" i="1"/>
  <c r="G37" i="1" l="1"/>
  <c r="O31" i="1"/>
  <c r="P37" i="1"/>
  <c r="F32" i="1"/>
  <c r="K31" i="1"/>
</calcChain>
</file>

<file path=xl/sharedStrings.xml><?xml version="1.0" encoding="utf-8"?>
<sst xmlns="http://schemas.openxmlformats.org/spreadsheetml/2006/main" count="22" uniqueCount="15">
  <si>
    <t>MHz</t>
  </si>
  <si>
    <t>Hz</t>
  </si>
  <si>
    <t>Delay (ms)</t>
  </si>
  <si>
    <t>s</t>
  </si>
  <si>
    <t>Clock</t>
  </si>
  <si>
    <t>ms</t>
  </si>
  <si>
    <t>2 by 8 counters</t>
  </si>
  <si>
    <t>1 by 5 counter</t>
  </si>
  <si>
    <t>+flip-flop</t>
  </si>
  <si>
    <t>1 by 3 counter</t>
  </si>
  <si>
    <t>HC4017</t>
  </si>
  <si>
    <t>CD4017</t>
  </si>
  <si>
    <t>CD4013</t>
  </si>
  <si>
    <t>74HC74</t>
  </si>
  <si>
    <t>74HC390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</si>
</sst>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1" applyNumberFormat="1" applyFont="1"/>
    <xf numFmtId="0" fontId="0" fillId="0" borderId="0" xfId="0" quotePrefix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5DA9-6746-CB44-9A79-35EC6442F837}">
  <dimension ref="A1:Q37"/>
  <sheetViews>
    <sheetView tabSelected="1" topLeftCell="B7" zoomScale="140" zoomScaleNormal="140" workbookViewId="0">
      <selection activeCell="F36" sqref="F36"/>
    </sheetView>
  </sheetViews>
  <sheetFormatPr baseColWidth="10" defaultRowHeight="16" x14ac:dyDescent="0.2"/>
  <cols>
    <col min="1" max="1" width="11.1640625" customWidth="1"/>
    <col min="2" max="2" width="17.1640625" customWidth="1"/>
    <col min="6" max="6" width="13" bestFit="1" customWidth="1"/>
    <col min="7" max="7" width="12.1640625" bestFit="1" customWidth="1"/>
  </cols>
  <sheetData>
    <row r="1" spans="1:17" x14ac:dyDescent="0.2">
      <c r="A1" t="s">
        <v>4</v>
      </c>
      <c r="C1" t="s">
        <v>2</v>
      </c>
    </row>
    <row r="2" spans="1:17" x14ac:dyDescent="0.2">
      <c r="A2" s="2" t="s">
        <v>0</v>
      </c>
      <c r="B2" s="2" t="s">
        <v>1</v>
      </c>
      <c r="C2" t="s">
        <v>5</v>
      </c>
      <c r="D2" t="s">
        <v>3</v>
      </c>
      <c r="E2" t="s">
        <v>1</v>
      </c>
    </row>
    <row r="3" spans="1:17" x14ac:dyDescent="0.2">
      <c r="A3">
        <v>2</v>
      </c>
      <c r="B3" s="1">
        <f>A3*1000000</f>
        <v>2000000</v>
      </c>
      <c r="C3">
        <v>342</v>
      </c>
      <c r="D3">
        <f>C3/1000</f>
        <v>0.34200000000000003</v>
      </c>
      <c r="E3" s="3">
        <f>1/D3</f>
        <v>2.9239766081871341</v>
      </c>
      <c r="F3" s="4">
        <f>B3/E3</f>
        <v>684000.00000000012</v>
      </c>
      <c r="G3">
        <f t="shared" ref="G3:G30" si="0">B3/F$37</f>
        <v>3.0517578125</v>
      </c>
    </row>
    <row r="4" spans="1:17" x14ac:dyDescent="0.2">
      <c r="A4">
        <v>2.5</v>
      </c>
      <c r="B4" s="1">
        <f t="shared" ref="B4:B30" si="1">A4*1000000</f>
        <v>2500000</v>
      </c>
      <c r="C4">
        <v>273</v>
      </c>
      <c r="D4">
        <f t="shared" ref="D4:D30" si="2">C4/1000</f>
        <v>0.27300000000000002</v>
      </c>
      <c r="E4" s="3">
        <f t="shared" ref="E4:E30" si="3">1/D4</f>
        <v>3.6630036630036629</v>
      </c>
      <c r="F4" s="4">
        <f t="shared" ref="F4:F30" si="4">B4/E4</f>
        <v>682500</v>
      </c>
      <c r="G4">
        <f t="shared" si="0"/>
        <v>3.814697265625</v>
      </c>
    </row>
    <row r="5" spans="1:17" x14ac:dyDescent="0.2">
      <c r="A5">
        <v>3</v>
      </c>
      <c r="B5" s="1">
        <f t="shared" si="1"/>
        <v>3000000</v>
      </c>
      <c r="C5">
        <v>228</v>
      </c>
      <c r="D5">
        <f t="shared" si="2"/>
        <v>0.22800000000000001</v>
      </c>
      <c r="E5" s="3">
        <f t="shared" si="3"/>
        <v>4.3859649122807012</v>
      </c>
      <c r="F5" s="4">
        <f t="shared" si="4"/>
        <v>684000.00000000012</v>
      </c>
      <c r="G5">
        <f t="shared" si="0"/>
        <v>4.57763671875</v>
      </c>
    </row>
    <row r="6" spans="1:17" x14ac:dyDescent="0.2">
      <c r="A6">
        <v>3.5</v>
      </c>
      <c r="B6" s="1">
        <f t="shared" si="1"/>
        <v>3500000</v>
      </c>
      <c r="C6">
        <v>196</v>
      </c>
      <c r="D6">
        <f t="shared" si="2"/>
        <v>0.19600000000000001</v>
      </c>
      <c r="E6" s="3">
        <f t="shared" si="3"/>
        <v>5.1020408163265305</v>
      </c>
      <c r="F6" s="4">
        <f t="shared" si="4"/>
        <v>686000</v>
      </c>
      <c r="G6">
        <f t="shared" si="0"/>
        <v>5.340576171875</v>
      </c>
    </row>
    <row r="7" spans="1:17" x14ac:dyDescent="0.2">
      <c r="A7">
        <v>4</v>
      </c>
      <c r="B7" s="1">
        <f t="shared" si="1"/>
        <v>4000000</v>
      </c>
      <c r="C7">
        <v>171</v>
      </c>
      <c r="D7">
        <f t="shared" si="2"/>
        <v>0.17100000000000001</v>
      </c>
      <c r="E7" s="3">
        <f t="shared" si="3"/>
        <v>5.8479532163742682</v>
      </c>
      <c r="F7" s="4">
        <f t="shared" si="4"/>
        <v>684000.00000000012</v>
      </c>
      <c r="G7">
        <f t="shared" si="0"/>
        <v>6.103515625</v>
      </c>
    </row>
    <row r="8" spans="1:17" x14ac:dyDescent="0.2">
      <c r="A8">
        <v>4.5</v>
      </c>
      <c r="B8" s="1">
        <f t="shared" si="1"/>
        <v>4500000</v>
      </c>
      <c r="C8">
        <v>151</v>
      </c>
      <c r="D8">
        <f t="shared" si="2"/>
        <v>0.151</v>
      </c>
      <c r="E8" s="3">
        <f t="shared" si="3"/>
        <v>6.6225165562913908</v>
      </c>
      <c r="F8" s="4">
        <f t="shared" si="4"/>
        <v>679500</v>
      </c>
      <c r="G8">
        <f t="shared" si="0"/>
        <v>6.866455078125</v>
      </c>
    </row>
    <row r="9" spans="1:17" x14ac:dyDescent="0.2">
      <c r="A9">
        <v>5</v>
      </c>
      <c r="B9" s="1">
        <f t="shared" si="1"/>
        <v>5000000</v>
      </c>
      <c r="C9">
        <v>137</v>
      </c>
      <c r="D9">
        <f t="shared" si="2"/>
        <v>0.13700000000000001</v>
      </c>
      <c r="E9" s="3">
        <f t="shared" si="3"/>
        <v>7.2992700729926998</v>
      </c>
      <c r="F9" s="4">
        <f t="shared" si="4"/>
        <v>685000.00000000012</v>
      </c>
      <c r="G9">
        <f t="shared" si="0"/>
        <v>7.62939453125</v>
      </c>
    </row>
    <row r="10" spans="1:17" x14ac:dyDescent="0.2">
      <c r="A10">
        <v>5.5</v>
      </c>
      <c r="B10" s="1">
        <f t="shared" si="1"/>
        <v>5500000</v>
      </c>
      <c r="C10">
        <v>124</v>
      </c>
      <c r="D10">
        <f t="shared" si="2"/>
        <v>0.124</v>
      </c>
      <c r="E10" s="3">
        <f t="shared" si="3"/>
        <v>8.064516129032258</v>
      </c>
      <c r="F10" s="4">
        <f t="shared" si="4"/>
        <v>682000</v>
      </c>
      <c r="G10">
        <f t="shared" si="0"/>
        <v>8.392333984375</v>
      </c>
    </row>
    <row r="11" spans="1:17" x14ac:dyDescent="0.2">
      <c r="A11">
        <v>6</v>
      </c>
      <c r="B11" s="1">
        <f t="shared" si="1"/>
        <v>6000000</v>
      </c>
      <c r="C11">
        <v>114</v>
      </c>
      <c r="D11">
        <f t="shared" si="2"/>
        <v>0.114</v>
      </c>
      <c r="E11" s="3">
        <f t="shared" si="3"/>
        <v>8.7719298245614024</v>
      </c>
      <c r="F11" s="4">
        <f t="shared" si="4"/>
        <v>684000.00000000012</v>
      </c>
      <c r="G11">
        <f t="shared" si="0"/>
        <v>9.1552734375</v>
      </c>
    </row>
    <row r="12" spans="1:17" x14ac:dyDescent="0.2">
      <c r="A12">
        <v>6.5</v>
      </c>
      <c r="B12" s="1">
        <f t="shared" si="1"/>
        <v>6500000</v>
      </c>
      <c r="C12">
        <v>104</v>
      </c>
      <c r="D12">
        <f t="shared" si="2"/>
        <v>0.104</v>
      </c>
      <c r="E12" s="3">
        <f t="shared" si="3"/>
        <v>9.615384615384615</v>
      </c>
      <c r="F12" s="4">
        <f t="shared" si="4"/>
        <v>676000</v>
      </c>
      <c r="G12">
        <f t="shared" si="0"/>
        <v>9.918212890625</v>
      </c>
      <c r="O12">
        <v>1</v>
      </c>
    </row>
    <row r="13" spans="1:17" x14ac:dyDescent="0.2">
      <c r="A13">
        <v>7</v>
      </c>
      <c r="B13" s="1">
        <f t="shared" si="1"/>
        <v>7000000</v>
      </c>
      <c r="C13">
        <v>97</v>
      </c>
      <c r="D13">
        <f t="shared" si="2"/>
        <v>9.7000000000000003E-2</v>
      </c>
      <c r="E13" s="3">
        <f t="shared" si="3"/>
        <v>10.309278350515463</v>
      </c>
      <c r="F13" s="4">
        <f t="shared" si="4"/>
        <v>679000.00000000012</v>
      </c>
      <c r="G13">
        <f t="shared" si="0"/>
        <v>10.68115234375</v>
      </c>
      <c r="I13">
        <v>1</v>
      </c>
      <c r="J13">
        <v>2</v>
      </c>
      <c r="K13">
        <v>2</v>
      </c>
      <c r="M13">
        <v>1</v>
      </c>
      <c r="N13">
        <v>2</v>
      </c>
      <c r="O13">
        <f>N13*O12</f>
        <v>2</v>
      </c>
      <c r="Q13" t="s">
        <v>14</v>
      </c>
    </row>
    <row r="14" spans="1:17" x14ac:dyDescent="0.2">
      <c r="A14">
        <v>7.5</v>
      </c>
      <c r="B14" s="1">
        <f t="shared" si="1"/>
        <v>7500000</v>
      </c>
      <c r="C14">
        <v>92</v>
      </c>
      <c r="D14">
        <f t="shared" si="2"/>
        <v>9.1999999999999998E-2</v>
      </c>
      <c r="E14" s="3">
        <f t="shared" si="3"/>
        <v>10.869565217391305</v>
      </c>
      <c r="F14" s="4">
        <f t="shared" si="4"/>
        <v>690000</v>
      </c>
      <c r="G14">
        <f t="shared" si="0"/>
        <v>11.444091796875</v>
      </c>
      <c r="I14">
        <v>2</v>
      </c>
      <c r="J14">
        <v>2</v>
      </c>
      <c r="K14">
        <f>J14*K13</f>
        <v>4</v>
      </c>
      <c r="M14">
        <v>2</v>
      </c>
      <c r="N14">
        <v>5</v>
      </c>
      <c r="O14">
        <f>N14*O13</f>
        <v>10</v>
      </c>
    </row>
    <row r="15" spans="1:17" x14ac:dyDescent="0.2">
      <c r="A15">
        <v>8</v>
      </c>
      <c r="B15" s="1">
        <f t="shared" si="1"/>
        <v>8000000</v>
      </c>
      <c r="C15">
        <v>86</v>
      </c>
      <c r="D15">
        <f t="shared" si="2"/>
        <v>8.5999999999999993E-2</v>
      </c>
      <c r="E15" s="3">
        <f t="shared" si="3"/>
        <v>11.627906976744187</v>
      </c>
      <c r="F15" s="4">
        <f t="shared" si="4"/>
        <v>687999.99999999988</v>
      </c>
      <c r="G15">
        <f t="shared" si="0"/>
        <v>12.20703125</v>
      </c>
      <c r="I15">
        <v>3</v>
      </c>
      <c r="J15">
        <v>2</v>
      </c>
      <c r="K15">
        <f>J15*K14</f>
        <v>8</v>
      </c>
      <c r="M15">
        <v>3</v>
      </c>
      <c r="N15">
        <v>2</v>
      </c>
      <c r="O15">
        <f>N15*O14</f>
        <v>20</v>
      </c>
      <c r="Q15" t="s">
        <v>14</v>
      </c>
    </row>
    <row r="16" spans="1:17" x14ac:dyDescent="0.2">
      <c r="A16">
        <v>8.5</v>
      </c>
      <c r="B16" s="1">
        <f t="shared" si="1"/>
        <v>8500000</v>
      </c>
      <c r="C16">
        <v>81</v>
      </c>
      <c r="D16">
        <f t="shared" si="2"/>
        <v>8.1000000000000003E-2</v>
      </c>
      <c r="E16" s="3">
        <f t="shared" si="3"/>
        <v>12.345679012345679</v>
      </c>
      <c r="F16" s="4">
        <f t="shared" si="4"/>
        <v>688500</v>
      </c>
      <c r="G16">
        <f t="shared" si="0"/>
        <v>12.969970703125</v>
      </c>
      <c r="I16">
        <v>4</v>
      </c>
      <c r="J16">
        <v>2</v>
      </c>
      <c r="K16">
        <f>J16*K15</f>
        <v>16</v>
      </c>
      <c r="M16">
        <v>4</v>
      </c>
      <c r="N16">
        <v>5</v>
      </c>
      <c r="O16">
        <f>N16*O15</f>
        <v>100</v>
      </c>
    </row>
    <row r="17" spans="1:17" x14ac:dyDescent="0.2">
      <c r="A17">
        <v>9</v>
      </c>
      <c r="B17" s="1">
        <f t="shared" si="1"/>
        <v>9000000</v>
      </c>
      <c r="C17">
        <v>76</v>
      </c>
      <c r="D17">
        <f t="shared" si="2"/>
        <v>7.5999999999999998E-2</v>
      </c>
      <c r="E17" s="3">
        <f t="shared" si="3"/>
        <v>13.157894736842106</v>
      </c>
      <c r="F17" s="4">
        <f t="shared" si="4"/>
        <v>684000</v>
      </c>
      <c r="G17">
        <f t="shared" si="0"/>
        <v>13.73291015625</v>
      </c>
      <c r="I17">
        <v>5</v>
      </c>
      <c r="J17">
        <v>2</v>
      </c>
      <c r="K17">
        <f t="shared" ref="K17:K30" si="5">J17*K16</f>
        <v>32</v>
      </c>
      <c r="M17">
        <v>5</v>
      </c>
      <c r="N17">
        <v>2</v>
      </c>
      <c r="O17">
        <f t="shared" ref="O17:O30" si="6">N17*O16</f>
        <v>200</v>
      </c>
      <c r="Q17" t="s">
        <v>14</v>
      </c>
    </row>
    <row r="18" spans="1:17" x14ac:dyDescent="0.2">
      <c r="A18">
        <v>10</v>
      </c>
      <c r="B18" s="1">
        <f t="shared" si="1"/>
        <v>10000000</v>
      </c>
      <c r="C18">
        <v>68</v>
      </c>
      <c r="D18">
        <f t="shared" si="2"/>
        <v>6.8000000000000005E-2</v>
      </c>
      <c r="E18" s="3">
        <f t="shared" si="3"/>
        <v>14.705882352941176</v>
      </c>
      <c r="F18" s="4">
        <f t="shared" si="4"/>
        <v>680000</v>
      </c>
      <c r="G18">
        <f t="shared" si="0"/>
        <v>15.2587890625</v>
      </c>
      <c r="I18">
        <v>6</v>
      </c>
      <c r="J18">
        <v>2</v>
      </c>
      <c r="K18">
        <f t="shared" si="5"/>
        <v>64</v>
      </c>
      <c r="M18">
        <v>6</v>
      </c>
      <c r="N18">
        <v>5</v>
      </c>
      <c r="O18">
        <f t="shared" si="6"/>
        <v>1000</v>
      </c>
    </row>
    <row r="19" spans="1:17" x14ac:dyDescent="0.2">
      <c r="A19">
        <v>11</v>
      </c>
      <c r="B19" s="1">
        <f t="shared" si="1"/>
        <v>11000000</v>
      </c>
      <c r="C19">
        <v>62</v>
      </c>
      <c r="D19">
        <f t="shared" si="2"/>
        <v>6.2E-2</v>
      </c>
      <c r="E19" s="3">
        <f t="shared" si="3"/>
        <v>16.129032258064516</v>
      </c>
      <c r="F19" s="4">
        <f t="shared" si="4"/>
        <v>682000</v>
      </c>
      <c r="G19">
        <f t="shared" si="0"/>
        <v>16.78466796875</v>
      </c>
      <c r="I19">
        <v>7</v>
      </c>
      <c r="J19">
        <v>2</v>
      </c>
      <c r="K19">
        <f t="shared" si="5"/>
        <v>128</v>
      </c>
      <c r="M19">
        <v>7</v>
      </c>
      <c r="N19">
        <v>1</v>
      </c>
      <c r="O19">
        <f t="shared" si="6"/>
        <v>1000</v>
      </c>
    </row>
    <row r="20" spans="1:17" x14ac:dyDescent="0.2">
      <c r="A20">
        <v>12</v>
      </c>
      <c r="B20" s="1">
        <f t="shared" si="1"/>
        <v>12000000</v>
      </c>
      <c r="C20">
        <v>57</v>
      </c>
      <c r="D20">
        <f t="shared" si="2"/>
        <v>5.7000000000000002E-2</v>
      </c>
      <c r="E20" s="3">
        <f t="shared" si="3"/>
        <v>17.543859649122805</v>
      </c>
      <c r="F20" s="4">
        <f t="shared" si="4"/>
        <v>684000.00000000012</v>
      </c>
      <c r="G20">
        <f t="shared" si="0"/>
        <v>18.310546875</v>
      </c>
      <c r="I20">
        <v>8</v>
      </c>
      <c r="J20">
        <v>2</v>
      </c>
      <c r="K20">
        <f t="shared" si="5"/>
        <v>256</v>
      </c>
      <c r="M20">
        <v>8</v>
      </c>
      <c r="N20">
        <v>7</v>
      </c>
      <c r="O20">
        <f t="shared" si="6"/>
        <v>7000</v>
      </c>
      <c r="P20" t="s">
        <v>10</v>
      </c>
      <c r="Q20" t="s">
        <v>11</v>
      </c>
    </row>
    <row r="21" spans="1:17" x14ac:dyDescent="0.2">
      <c r="A21">
        <v>13</v>
      </c>
      <c r="B21" s="1">
        <f t="shared" si="1"/>
        <v>13000000</v>
      </c>
      <c r="C21">
        <v>52</v>
      </c>
      <c r="D21">
        <f t="shared" si="2"/>
        <v>5.1999999999999998E-2</v>
      </c>
      <c r="E21" s="3">
        <f t="shared" si="3"/>
        <v>19.23076923076923</v>
      </c>
      <c r="F21" s="4">
        <f t="shared" si="4"/>
        <v>676000</v>
      </c>
      <c r="G21">
        <f t="shared" si="0"/>
        <v>19.83642578125</v>
      </c>
      <c r="I21">
        <v>9</v>
      </c>
      <c r="J21">
        <v>2</v>
      </c>
      <c r="K21">
        <f t="shared" si="5"/>
        <v>512</v>
      </c>
      <c r="M21">
        <v>1</v>
      </c>
      <c r="N21">
        <v>7</v>
      </c>
      <c r="O21">
        <f t="shared" si="6"/>
        <v>49000</v>
      </c>
      <c r="P21" t="s">
        <v>10</v>
      </c>
      <c r="Q21" t="s">
        <v>11</v>
      </c>
    </row>
    <row r="22" spans="1:17" x14ac:dyDescent="0.2">
      <c r="A22">
        <v>14</v>
      </c>
      <c r="B22" s="1">
        <f t="shared" si="1"/>
        <v>14000000</v>
      </c>
      <c r="C22">
        <v>48</v>
      </c>
      <c r="D22">
        <f t="shared" si="2"/>
        <v>4.8000000000000001E-2</v>
      </c>
      <c r="E22" s="3">
        <f t="shared" si="3"/>
        <v>20.833333333333332</v>
      </c>
      <c r="F22" s="4">
        <f t="shared" si="4"/>
        <v>672000</v>
      </c>
      <c r="G22">
        <f t="shared" si="0"/>
        <v>21.3623046875</v>
      </c>
      <c r="I22">
        <v>10</v>
      </c>
      <c r="J22">
        <v>2</v>
      </c>
      <c r="K22">
        <f t="shared" si="5"/>
        <v>1024</v>
      </c>
      <c r="M22">
        <v>2</v>
      </c>
      <c r="N22">
        <v>7</v>
      </c>
      <c r="O22">
        <f t="shared" si="6"/>
        <v>343000</v>
      </c>
      <c r="P22" t="s">
        <v>10</v>
      </c>
      <c r="Q22" t="s">
        <v>11</v>
      </c>
    </row>
    <row r="23" spans="1:17" x14ac:dyDescent="0.2">
      <c r="A23">
        <v>15</v>
      </c>
      <c r="B23" s="1">
        <f t="shared" si="1"/>
        <v>15000000</v>
      </c>
      <c r="C23">
        <v>46</v>
      </c>
      <c r="D23">
        <f t="shared" si="2"/>
        <v>4.5999999999999999E-2</v>
      </c>
      <c r="E23" s="3">
        <f t="shared" si="3"/>
        <v>21.739130434782609</v>
      </c>
      <c r="F23" s="4">
        <f t="shared" si="4"/>
        <v>690000</v>
      </c>
      <c r="G23">
        <f t="shared" si="0"/>
        <v>22.88818359375</v>
      </c>
      <c r="I23">
        <v>11</v>
      </c>
      <c r="J23">
        <v>2</v>
      </c>
      <c r="K23">
        <f t="shared" si="5"/>
        <v>2048</v>
      </c>
      <c r="M23">
        <v>3</v>
      </c>
      <c r="N23">
        <v>1</v>
      </c>
      <c r="O23">
        <f t="shared" si="6"/>
        <v>343000</v>
      </c>
    </row>
    <row r="24" spans="1:17" x14ac:dyDescent="0.2">
      <c r="A24">
        <v>16</v>
      </c>
      <c r="B24" s="1">
        <f t="shared" si="1"/>
        <v>16000000</v>
      </c>
      <c r="C24">
        <v>43</v>
      </c>
      <c r="D24">
        <f t="shared" si="2"/>
        <v>4.2999999999999997E-2</v>
      </c>
      <c r="E24" s="3">
        <f t="shared" si="3"/>
        <v>23.255813953488374</v>
      </c>
      <c r="F24" s="4">
        <f t="shared" si="4"/>
        <v>687999.99999999988</v>
      </c>
      <c r="G24">
        <f t="shared" si="0"/>
        <v>24.4140625</v>
      </c>
      <c r="I24">
        <v>12</v>
      </c>
      <c r="J24">
        <v>2</v>
      </c>
      <c r="K24">
        <f t="shared" si="5"/>
        <v>4096</v>
      </c>
      <c r="M24">
        <v>4</v>
      </c>
      <c r="N24">
        <v>1</v>
      </c>
      <c r="O24">
        <f t="shared" si="6"/>
        <v>343000</v>
      </c>
    </row>
    <row r="25" spans="1:17" x14ac:dyDescent="0.2">
      <c r="A25">
        <v>17</v>
      </c>
      <c r="B25" s="1">
        <f t="shared" si="1"/>
        <v>17000000</v>
      </c>
      <c r="C25">
        <v>41</v>
      </c>
      <c r="D25">
        <f t="shared" si="2"/>
        <v>4.1000000000000002E-2</v>
      </c>
      <c r="E25" s="3">
        <f t="shared" si="3"/>
        <v>24.390243902439025</v>
      </c>
      <c r="F25" s="4">
        <f t="shared" si="4"/>
        <v>697000</v>
      </c>
      <c r="G25">
        <f t="shared" si="0"/>
        <v>25.93994140625</v>
      </c>
      <c r="I25">
        <v>13</v>
      </c>
      <c r="J25">
        <v>2</v>
      </c>
      <c r="K25">
        <f t="shared" si="5"/>
        <v>8192</v>
      </c>
      <c r="M25">
        <v>5</v>
      </c>
      <c r="N25">
        <v>1</v>
      </c>
      <c r="O25">
        <f t="shared" si="6"/>
        <v>343000</v>
      </c>
    </row>
    <row r="26" spans="1:17" x14ac:dyDescent="0.2">
      <c r="A26">
        <v>18</v>
      </c>
      <c r="B26" s="1">
        <f t="shared" si="1"/>
        <v>18000000</v>
      </c>
      <c r="C26">
        <v>38</v>
      </c>
      <c r="D26">
        <f t="shared" si="2"/>
        <v>3.7999999999999999E-2</v>
      </c>
      <c r="E26" s="3">
        <f t="shared" si="3"/>
        <v>26.315789473684212</v>
      </c>
      <c r="F26" s="4">
        <f t="shared" si="4"/>
        <v>684000</v>
      </c>
      <c r="G26">
        <f t="shared" si="0"/>
        <v>27.4658203125</v>
      </c>
      <c r="I26">
        <v>14</v>
      </c>
      <c r="J26">
        <v>2</v>
      </c>
      <c r="K26">
        <f t="shared" si="5"/>
        <v>16384</v>
      </c>
      <c r="N26">
        <v>1</v>
      </c>
      <c r="O26">
        <f t="shared" si="6"/>
        <v>343000</v>
      </c>
    </row>
    <row r="27" spans="1:17" x14ac:dyDescent="0.2">
      <c r="A27">
        <v>19</v>
      </c>
      <c r="B27" s="1">
        <f t="shared" si="1"/>
        <v>19000000</v>
      </c>
      <c r="C27">
        <v>37</v>
      </c>
      <c r="D27">
        <f t="shared" si="2"/>
        <v>3.6999999999999998E-2</v>
      </c>
      <c r="E27" s="3">
        <f t="shared" si="3"/>
        <v>27.027027027027028</v>
      </c>
      <c r="F27" s="4">
        <f t="shared" si="4"/>
        <v>703000</v>
      </c>
      <c r="G27">
        <f t="shared" si="0"/>
        <v>28.99169921875</v>
      </c>
      <c r="I27">
        <v>15</v>
      </c>
      <c r="J27">
        <v>2</v>
      </c>
      <c r="K27">
        <f t="shared" si="5"/>
        <v>32768</v>
      </c>
      <c r="N27">
        <v>1</v>
      </c>
      <c r="O27">
        <f t="shared" si="6"/>
        <v>343000</v>
      </c>
    </row>
    <row r="28" spans="1:17" x14ac:dyDescent="0.2">
      <c r="A28">
        <v>20</v>
      </c>
      <c r="B28" s="1">
        <f t="shared" si="1"/>
        <v>20000000</v>
      </c>
      <c r="C28">
        <v>34</v>
      </c>
      <c r="D28">
        <f t="shared" si="2"/>
        <v>3.4000000000000002E-2</v>
      </c>
      <c r="E28" s="3">
        <f t="shared" si="3"/>
        <v>29.411764705882351</v>
      </c>
      <c r="F28" s="4">
        <f t="shared" si="4"/>
        <v>680000</v>
      </c>
      <c r="G28">
        <f t="shared" si="0"/>
        <v>30.517578125</v>
      </c>
      <c r="J28">
        <v>1</v>
      </c>
      <c r="K28">
        <f t="shared" si="5"/>
        <v>32768</v>
      </c>
      <c r="N28">
        <v>1</v>
      </c>
      <c r="O28">
        <f t="shared" si="6"/>
        <v>343000</v>
      </c>
    </row>
    <row r="29" spans="1:17" x14ac:dyDescent="0.2">
      <c r="A29">
        <v>21</v>
      </c>
      <c r="B29" s="1">
        <f t="shared" si="1"/>
        <v>21000000</v>
      </c>
      <c r="C29">
        <v>33</v>
      </c>
      <c r="D29">
        <f t="shared" si="2"/>
        <v>3.3000000000000002E-2</v>
      </c>
      <c r="E29" s="3">
        <f t="shared" si="3"/>
        <v>30.303030303030301</v>
      </c>
      <c r="F29" s="4">
        <f t="shared" si="4"/>
        <v>693000</v>
      </c>
      <c r="G29">
        <f t="shared" si="0"/>
        <v>32.04345703125</v>
      </c>
      <c r="J29">
        <v>3</v>
      </c>
      <c r="K29">
        <f t="shared" si="5"/>
        <v>98304</v>
      </c>
      <c r="N29">
        <v>1</v>
      </c>
      <c r="O29">
        <f t="shared" si="6"/>
        <v>343000</v>
      </c>
    </row>
    <row r="30" spans="1:17" x14ac:dyDescent="0.2">
      <c r="A30">
        <v>22</v>
      </c>
      <c r="B30" s="1">
        <f t="shared" si="1"/>
        <v>22000000</v>
      </c>
      <c r="C30">
        <v>31</v>
      </c>
      <c r="D30">
        <f t="shared" si="2"/>
        <v>3.1E-2</v>
      </c>
      <c r="E30" s="3">
        <f t="shared" si="3"/>
        <v>32.258064516129032</v>
      </c>
      <c r="F30" s="4">
        <f t="shared" si="4"/>
        <v>682000</v>
      </c>
      <c r="G30">
        <f t="shared" si="0"/>
        <v>33.5693359375</v>
      </c>
      <c r="J30">
        <v>7</v>
      </c>
      <c r="K30">
        <f t="shared" si="5"/>
        <v>688128</v>
      </c>
      <c r="N30">
        <v>2</v>
      </c>
      <c r="O30">
        <f t="shared" si="6"/>
        <v>686000</v>
      </c>
      <c r="P30" t="s">
        <v>13</v>
      </c>
      <c r="Q30" t="s">
        <v>12</v>
      </c>
    </row>
    <row r="31" spans="1:17" x14ac:dyDescent="0.2">
      <c r="F31" s="4">
        <f>AVERAGE(F3:F30)</f>
        <v>684553.57142857148</v>
      </c>
      <c r="K31" s="6">
        <f>K27/F31</f>
        <v>4.7867692709012651E-2</v>
      </c>
      <c r="O31" s="6">
        <f>O30/F31</f>
        <v>1.0021129516107994</v>
      </c>
    </row>
    <row r="32" spans="1:17" x14ac:dyDescent="0.2">
      <c r="F32" s="4">
        <f>LOG(F31,2)</f>
        <v>19.384803921997566</v>
      </c>
    </row>
    <row r="33" spans="5:16" x14ac:dyDescent="0.2">
      <c r="F33" s="4">
        <f>POWER(2,19)</f>
        <v>524288</v>
      </c>
    </row>
    <row r="34" spans="5:16" x14ac:dyDescent="0.2">
      <c r="E34" t="s">
        <v>6</v>
      </c>
      <c r="F34">
        <f>POWER(2,16)</f>
        <v>65536</v>
      </c>
      <c r="G34">
        <f>POWER(2,8)</f>
        <v>256</v>
      </c>
      <c r="K34">
        <v>684500</v>
      </c>
      <c r="N34">
        <v>2</v>
      </c>
      <c r="O34">
        <v>15</v>
      </c>
      <c r="P34">
        <f>POWER(N34,O34)</f>
        <v>32768</v>
      </c>
    </row>
    <row r="35" spans="5:16" x14ac:dyDescent="0.2">
      <c r="E35" t="s">
        <v>9</v>
      </c>
      <c r="F35">
        <f>F34*3*3</f>
        <v>589824</v>
      </c>
      <c r="K35">
        <f>K34/7</f>
        <v>97785.71428571429</v>
      </c>
      <c r="N35">
        <v>3</v>
      </c>
      <c r="O35">
        <v>1</v>
      </c>
      <c r="P35">
        <f>P34*POWER(N35,O35)</f>
        <v>98304</v>
      </c>
    </row>
    <row r="36" spans="5:16" x14ac:dyDescent="0.2">
      <c r="E36" t="s">
        <v>7</v>
      </c>
      <c r="F36">
        <f>F34*5</f>
        <v>327680</v>
      </c>
      <c r="K36">
        <f>K35/3</f>
        <v>32595.238095238095</v>
      </c>
      <c r="N36">
        <v>7</v>
      </c>
      <c r="O36">
        <v>1</v>
      </c>
      <c r="P36">
        <f>P35*POWER(N36,O36)</f>
        <v>688128</v>
      </c>
    </row>
    <row r="37" spans="5:16" x14ac:dyDescent="0.2">
      <c r="E37" s="5" t="s">
        <v>8</v>
      </c>
      <c r="F37">
        <f>F36*2</f>
        <v>655360</v>
      </c>
      <c r="G37" s="6">
        <f>F37/F31</f>
        <v>0.95735385418025298</v>
      </c>
      <c r="K37">
        <f>K36/32768</f>
        <v>0.99472772507440477</v>
      </c>
      <c r="P37" s="6">
        <f>P36/F31</f>
        <v>1.0052215468892656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 Fieldson</dc:creator>
  <cp:lastModifiedBy>Gregory T Fieldson</cp:lastModifiedBy>
  <dcterms:created xsi:type="dcterms:W3CDTF">2026-04-20T21:11:19Z</dcterms:created>
  <dcterms:modified xsi:type="dcterms:W3CDTF">2026-09-09T12:39:48Z</dcterms:modified>
</cp:coreProperties>
</file>